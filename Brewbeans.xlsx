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xr:revisionPtr revIDLastSave="0" documentId="8_{33571228-5B26-49AC-976E-9DE4E5D72937}" xr6:coauthVersionLast="47" xr6:coauthVersionMax="47" xr10:uidLastSave="{00000000-0000-0000-0000-000000000000}"/>
  <bookViews>
    <workbookView xWindow="-110" yWindow="-110" windowWidth="22620" windowHeight="13500" xr2:uid="{4AB1C6BF-4FB1-4F29-AA4B-784648D937D6}"/>
  </bookViews>
  <sheets>
    <sheet name="Revenue Forecast" sheetId="1" r:id="rId1"/>
    <sheet name="Expense" sheetId="2" r:id="rId2"/>
    <sheet name="Income_Statement" sheetId="3" r:id="rId3"/>
    <sheet name="DCF" sheetId="4" r:id="rId4"/>
    <sheet name="Cash Flow" sheetId="5" r:id="rId5"/>
    <sheet name="Balance Sheet" sheetId="6" r:id="rId6"/>
    <sheet name="KPI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5" l="1"/>
  <c r="D8" i="5"/>
  <c r="C8" i="5"/>
  <c r="F7" i="4"/>
  <c r="F6" i="4"/>
  <c r="F5" i="4"/>
  <c r="C6" i="2"/>
  <c r="F6" i="3" s="1"/>
  <c r="C13" i="3" s="1"/>
  <c r="C15" i="2"/>
  <c r="D15" i="2" s="1"/>
  <c r="E15" i="2" s="1"/>
  <c r="E6" i="1"/>
  <c r="F7" i="1"/>
  <c r="G7" i="1" s="1"/>
  <c r="F6" i="1"/>
  <c r="F5" i="1"/>
  <c r="E5" i="1"/>
  <c r="G5" i="1" s="1"/>
  <c r="C7" i="1"/>
  <c r="L8" i="2" s="1"/>
  <c r="E16" i="2" s="1"/>
  <c r="C6" i="1"/>
  <c r="I7" i="2" s="1"/>
  <c r="D14" i="2" s="1"/>
  <c r="C5" i="1"/>
  <c r="I6" i="2" s="1"/>
  <c r="C14" i="2" s="1"/>
  <c r="C12" i="2" l="1"/>
  <c r="C6" i="7" s="1"/>
  <c r="F8" i="2"/>
  <c r="E13" i="2" s="1"/>
  <c r="G6" i="1"/>
  <c r="H6" i="1" s="1"/>
  <c r="F6" i="2"/>
  <c r="C13" i="2" s="1"/>
  <c r="F7" i="2"/>
  <c r="D13" i="2" s="1"/>
  <c r="I8" i="2"/>
  <c r="E14" i="2" s="1"/>
  <c r="L6" i="2"/>
  <c r="C16" i="2" s="1"/>
  <c r="C18" i="2" s="1"/>
  <c r="J6" i="3" s="1"/>
  <c r="L7" i="2"/>
  <c r="D16" i="2" s="1"/>
  <c r="H5" i="1"/>
  <c r="H7" i="1"/>
  <c r="C8" i="2"/>
  <c r="D5" i="7" l="1"/>
  <c r="C7" i="3"/>
  <c r="D12" i="3" s="1"/>
  <c r="E5" i="7"/>
  <c r="C8" i="3"/>
  <c r="E12" i="3" s="1"/>
  <c r="C5" i="7"/>
  <c r="C7" i="7" s="1"/>
  <c r="C6" i="3"/>
  <c r="C12" i="3" s="1"/>
  <c r="E12" i="2"/>
  <c r="F8" i="3"/>
  <c r="E13" i="3" s="1"/>
  <c r="C15" i="3"/>
  <c r="C7" i="2"/>
  <c r="I7" i="1"/>
  <c r="I6" i="1"/>
  <c r="D12" i="7" l="1"/>
  <c r="D12" i="2"/>
  <c r="F7" i="3"/>
  <c r="D13" i="3" s="1"/>
  <c r="D14" i="3" s="1"/>
  <c r="E18" i="2"/>
  <c r="J8" i="3" s="1"/>
  <c r="E15" i="3" s="1"/>
  <c r="E6" i="7"/>
  <c r="C14" i="3"/>
  <c r="C16" i="3" s="1"/>
  <c r="C17" i="3"/>
  <c r="E17" i="3"/>
  <c r="E14" i="3"/>
  <c r="E16" i="3" s="1"/>
  <c r="E12" i="7"/>
  <c r="E7" i="7"/>
  <c r="D17" i="3"/>
  <c r="C18" i="3" l="1"/>
  <c r="C10" i="7"/>
  <c r="E18" i="3"/>
  <c r="E10" i="7"/>
  <c r="E6" i="5"/>
  <c r="E7" i="4"/>
  <c r="C6" i="5"/>
  <c r="E5" i="4"/>
  <c r="C7" i="6" s="1"/>
  <c r="D6" i="7"/>
  <c r="D7" i="7" s="1"/>
  <c r="D18" i="2"/>
  <c r="J7" i="3" s="1"/>
  <c r="D15" i="3" s="1"/>
  <c r="D16" i="3" s="1"/>
  <c r="D6" i="5"/>
  <c r="E6" i="4"/>
  <c r="D18" i="3" l="1"/>
  <c r="D10" i="7"/>
  <c r="C5" i="4"/>
  <c r="C19" i="3"/>
  <c r="D5" i="4" s="1"/>
  <c r="C20" i="3"/>
  <c r="D7" i="6"/>
  <c r="E7" i="6" s="1"/>
  <c r="C7" i="4"/>
  <c r="E19" i="3"/>
  <c r="D7" i="4" s="1"/>
  <c r="E20" i="3"/>
  <c r="E8" i="7" l="1"/>
  <c r="E11" i="7" s="1"/>
  <c r="E5" i="5"/>
  <c r="E7" i="5" s="1"/>
  <c r="E9" i="5" s="1"/>
  <c r="G7" i="4"/>
  <c r="C8" i="7"/>
  <c r="C11" i="7" s="1"/>
  <c r="C5" i="5"/>
  <c r="G5" i="4"/>
  <c r="C6" i="4"/>
  <c r="D19" i="3"/>
  <c r="D6" i="4" s="1"/>
  <c r="D20" i="3"/>
  <c r="D8" i="7" l="1"/>
  <c r="D11" i="7" s="1"/>
  <c r="D5" i="5"/>
  <c r="D7" i="5" s="1"/>
  <c r="D9" i="5" s="1"/>
  <c r="G6" i="4"/>
  <c r="C12" i="4"/>
  <c r="E12" i="4" s="1"/>
  <c r="C9" i="7"/>
  <c r="C7" i="5"/>
  <c r="C9" i="5" s="1"/>
  <c r="C10" i="6"/>
  <c r="D10" i="6" s="1"/>
  <c r="E10" i="6" s="1"/>
  <c r="C14" i="4"/>
  <c r="E14" i="4" s="1"/>
  <c r="E9" i="7"/>
  <c r="C11" i="5" l="1"/>
  <c r="C6" i="6" s="1"/>
  <c r="C8" i="6" s="1"/>
  <c r="D10" i="5"/>
  <c r="D11" i="5" s="1"/>
  <c r="C13" i="4"/>
  <c r="E13" i="4" s="1"/>
  <c r="D9" i="7"/>
  <c r="E10" i="5" l="1"/>
  <c r="E11" i="5" s="1"/>
  <c r="E6" i="6" s="1"/>
  <c r="E8" i="6" s="1"/>
  <c r="D6" i="6"/>
  <c r="D8" i="6" s="1"/>
</calcChain>
</file>

<file path=xl/sharedStrings.xml><?xml version="1.0" encoding="utf-8"?>
<sst xmlns="http://schemas.openxmlformats.org/spreadsheetml/2006/main" count="115" uniqueCount="90">
  <si>
    <t>Year</t>
  </si>
  <si>
    <t>Stores</t>
  </si>
  <si>
    <t>Cust/Day</t>
  </si>
  <si>
    <t>Spend ($)</t>
  </si>
  <si>
    <t>Days</t>
  </si>
  <si>
    <t>Rev/Store</t>
  </si>
  <si>
    <t>Total Rev</t>
  </si>
  <si>
    <t>Growth %</t>
  </si>
  <si>
    <t>–</t>
  </si>
  <si>
    <t>-</t>
  </si>
  <si>
    <t>Rent Expenses</t>
  </si>
  <si>
    <t>Value</t>
  </si>
  <si>
    <t>COGS (35% Of Revenue)</t>
  </si>
  <si>
    <t>Salaries and Wages</t>
  </si>
  <si>
    <t>Other Operating Expense</t>
  </si>
  <si>
    <t>Expense Category</t>
  </si>
  <si>
    <t>Notes</t>
  </si>
  <si>
    <t>Ty</t>
  </si>
  <si>
    <t>COGS (35%)</t>
  </si>
  <si>
    <t>Variable</t>
  </si>
  <si>
    <t>Rent</t>
  </si>
  <si>
    <t>3k per store / mo</t>
  </si>
  <si>
    <t>Fixed</t>
  </si>
  <si>
    <t>Salaries</t>
  </si>
  <si>
    <t>2 staff × 8 h × $15</t>
  </si>
  <si>
    <t>Semi-fixed</t>
  </si>
  <si>
    <t>Marketing</t>
  </si>
  <si>
    <t>+10 % annually</t>
  </si>
  <si>
    <t>Other Expenses</t>
  </si>
  <si>
    <t>Per store</t>
  </si>
  <si>
    <t>Total Operating Expenses</t>
  </si>
  <si>
    <t xml:space="preserve"> 35% of Revenue</t>
  </si>
  <si>
    <t>Revenue Forecast</t>
  </si>
  <si>
    <t>Expense</t>
  </si>
  <si>
    <t>Income_Statement</t>
  </si>
  <si>
    <t>Gross Profit</t>
  </si>
  <si>
    <t>Revenue</t>
  </si>
  <si>
    <t>COGS</t>
  </si>
  <si>
    <t>Operating expense</t>
  </si>
  <si>
    <t>EBITDA</t>
  </si>
  <si>
    <t>EBIT</t>
  </si>
  <si>
    <t>Line Item</t>
  </si>
  <si>
    <t>Rent + Salaries + Marketing + Other</t>
  </si>
  <si>
    <t>Depreciation (5%)</t>
  </si>
  <si>
    <t>EBIT (Operating Income)</t>
  </si>
  <si>
    <t>Taxes (25%)</t>
  </si>
  <si>
    <t>Net Income</t>
  </si>
  <si>
    <t>Taxes</t>
  </si>
  <si>
    <t>Depreciation</t>
  </si>
  <si>
    <t>CapEx</t>
  </si>
  <si>
    <t>Free Cash Flow</t>
  </si>
  <si>
    <t>DCF</t>
  </si>
  <si>
    <t>FCF( Free Cash Flow)</t>
  </si>
  <si>
    <t>Present Value (PV)</t>
  </si>
  <si>
    <t>Discout Rate</t>
  </si>
  <si>
    <t>+ Depreciation</t>
  </si>
  <si>
    <t>Operating Cash Flow</t>
  </si>
  <si>
    <t>Net Cash Change</t>
  </si>
  <si>
    <t>Opening Cash</t>
  </si>
  <si>
    <t>Closing Cash</t>
  </si>
  <si>
    <t>CapEx (Investing)</t>
  </si>
  <si>
    <t>Cash Flow</t>
  </si>
  <si>
    <t>Assets</t>
  </si>
  <si>
    <t>Cash</t>
  </si>
  <si>
    <t>Net Fixed Assets</t>
  </si>
  <si>
    <t>Total Assets</t>
  </si>
  <si>
    <t>Liabilities</t>
  </si>
  <si>
    <t>Equity</t>
  </si>
  <si>
    <t>Assets = Liabilities + Equity</t>
  </si>
  <si>
    <t>✅</t>
  </si>
  <si>
    <t>Balance Sheet</t>
  </si>
  <si>
    <t>Metric</t>
  </si>
  <si>
    <t>Formula Source</t>
  </si>
  <si>
    <t>Revenue ($)</t>
  </si>
  <si>
    <t>From Revenue tab</t>
  </si>
  <si>
    <t>COGS ($)</t>
  </si>
  <si>
    <t>From Expense tab</t>
  </si>
  <si>
    <t>Gross Profit ($)</t>
  </si>
  <si>
    <t>Net Income ($)</t>
  </si>
  <si>
    <t>From Income Statement</t>
  </si>
  <si>
    <t>Free Cash Flow ($)</t>
  </si>
  <si>
    <t>From DCF tab</t>
  </si>
  <si>
    <t>EBITDA Margin (%)</t>
  </si>
  <si>
    <t>Net Profit Margin (%)</t>
  </si>
  <si>
    <t>Revenue Growth (%)</t>
  </si>
  <si>
    <t>Revenue–COGS</t>
  </si>
  <si>
    <t>EBITDA / Revenue</t>
  </si>
  <si>
    <t>Net Income / Revenue</t>
  </si>
  <si>
    <t>(ThisYr–LastYr)/LastYr</t>
  </si>
  <si>
    <t>KPI'S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</si>
</sst>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71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/>
    <xf numFmtId="0" fontId="0" fillId="0" borderId="7" xfId="0" applyBorder="1" applyAlignment="1">
      <alignment vertical="center" wrapText="1"/>
    </xf>
    <xf numFmtId="6" fontId="0" fillId="0" borderId="8" xfId="0" applyNumberFormat="1" applyBorder="1"/>
    <xf numFmtId="0" fontId="0" fillId="0" borderId="9" xfId="0" applyBorder="1" applyAlignment="1">
      <alignment vertical="center" wrapText="1"/>
    </xf>
    <xf numFmtId="6" fontId="0" fillId="0" borderId="10" xfId="0" applyNumberFormat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71" fontId="0" fillId="0" borderId="8" xfId="1" applyNumberFormat="1" applyFont="1" applyBorder="1" applyAlignment="1">
      <alignment vertical="center" wrapText="1"/>
    </xf>
    <xf numFmtId="171" fontId="0" fillId="0" borderId="10" xfId="1" applyNumberFormat="1" applyFont="1" applyBorder="1" applyAlignment="1">
      <alignment vertical="center" wrapText="1"/>
    </xf>
    <xf numFmtId="171" fontId="0" fillId="0" borderId="0" xfId="1" applyNumberFormat="1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171" fontId="2" fillId="0" borderId="12" xfId="1" applyNumberFormat="1" applyFont="1" applyBorder="1" applyAlignment="1">
      <alignment vertical="center" wrapText="1"/>
    </xf>
    <xf numFmtId="0" fontId="0" fillId="0" borderId="12" xfId="0" applyBorder="1"/>
    <xf numFmtId="0" fontId="0" fillId="0" borderId="10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8" fontId="0" fillId="0" borderId="0" xfId="0" applyNumberFormat="1" applyBorder="1" applyAlignment="1">
      <alignment vertical="center" wrapText="1"/>
    </xf>
    <xf numFmtId="3" fontId="0" fillId="0" borderId="0" xfId="0" applyNumberFormat="1" applyBorder="1" applyAlignment="1">
      <alignment vertical="center" wrapText="1"/>
    </xf>
    <xf numFmtId="9" fontId="0" fillId="0" borderId="8" xfId="2" applyFont="1" applyBorder="1" applyAlignment="1">
      <alignment vertical="center" wrapText="1"/>
    </xf>
    <xf numFmtId="0" fontId="0" fillId="0" borderId="12" xfId="0" applyBorder="1" applyAlignment="1">
      <alignment vertical="center" wrapText="1"/>
    </xf>
    <xf numFmtId="8" fontId="0" fillId="0" borderId="12" xfId="0" applyNumberFormat="1" applyBorder="1" applyAlignment="1">
      <alignment vertical="center" wrapText="1"/>
    </xf>
    <xf numFmtId="3" fontId="0" fillId="0" borderId="12" xfId="0" applyNumberFormat="1" applyBorder="1" applyAlignment="1">
      <alignment vertical="center" wrapText="1"/>
    </xf>
    <xf numFmtId="9" fontId="0" fillId="0" borderId="10" xfId="2" applyFont="1" applyBorder="1" applyAlignment="1">
      <alignment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/>
    <xf numFmtId="0" fontId="2" fillId="2" borderId="1" xfId="0" applyFont="1" applyFill="1" applyBorder="1"/>
    <xf numFmtId="0" fontId="2" fillId="0" borderId="7" xfId="0" applyFont="1" applyBorder="1" applyAlignment="1">
      <alignment vertical="center" wrapText="1"/>
    </xf>
    <xf numFmtId="171" fontId="2" fillId="0" borderId="0" xfId="1" applyNumberFormat="1" applyFont="1" applyBorder="1" applyAlignment="1">
      <alignment vertical="center" wrapText="1"/>
    </xf>
    <xf numFmtId="171" fontId="2" fillId="0" borderId="8" xfId="1" applyNumberFormat="1" applyFont="1" applyBorder="1" applyAlignment="1">
      <alignment vertical="center" wrapText="1"/>
    </xf>
    <xf numFmtId="171" fontId="2" fillId="0" borderId="10" xfId="1" applyNumberFormat="1" applyFont="1" applyBorder="1" applyAlignment="1">
      <alignment vertical="center" wrapText="1"/>
    </xf>
    <xf numFmtId="0" fontId="2" fillId="2" borderId="13" xfId="0" applyFont="1" applyFill="1" applyBorder="1" applyAlignment="1">
      <alignment vertical="center" wrapText="1"/>
    </xf>
    <xf numFmtId="171" fontId="2" fillId="2" borderId="14" xfId="1" applyNumberFormat="1" applyFont="1" applyFill="1" applyBorder="1" applyAlignment="1">
      <alignment vertical="center" wrapText="1"/>
    </xf>
    <xf numFmtId="171" fontId="2" fillId="2" borderId="15" xfId="1" applyNumberFormat="1" applyFont="1" applyFill="1" applyBorder="1" applyAlignment="1">
      <alignment vertical="center" wrapText="1"/>
    </xf>
    <xf numFmtId="0" fontId="2" fillId="2" borderId="16" xfId="0" applyFont="1" applyFill="1" applyBorder="1" applyAlignment="1">
      <alignment vertical="center" wrapText="1"/>
    </xf>
    <xf numFmtId="171" fontId="2" fillId="2" borderId="17" xfId="1" applyNumberFormat="1" applyFont="1" applyFill="1" applyBorder="1" applyAlignment="1">
      <alignment vertical="center" wrapText="1"/>
    </xf>
    <xf numFmtId="171" fontId="2" fillId="2" borderId="18" xfId="1" applyNumberFormat="1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71" fontId="0" fillId="0" borderId="12" xfId="1" applyNumberFormat="1" applyFont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9" fontId="0" fillId="0" borderId="0" xfId="2" applyFont="1" applyBorder="1" applyAlignment="1">
      <alignment vertical="center" wrapText="1"/>
    </xf>
    <xf numFmtId="171" fontId="0" fillId="0" borderId="8" xfId="0" applyNumberFormat="1" applyBorder="1" applyAlignment="1">
      <alignment vertical="center" wrapText="1"/>
    </xf>
    <xf numFmtId="9" fontId="0" fillId="0" borderId="12" xfId="2" applyFont="1" applyBorder="1" applyAlignment="1">
      <alignment vertical="center" wrapText="1"/>
    </xf>
    <xf numFmtId="171" fontId="0" fillId="0" borderId="10" xfId="0" applyNumberFormat="1" applyBorder="1" applyAlignment="1">
      <alignment vertical="center" wrapText="1"/>
    </xf>
    <xf numFmtId="171" fontId="0" fillId="0" borderId="0" xfId="0" applyNumberFormat="1"/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171" fontId="0" fillId="0" borderId="0" xfId="1" applyNumberFormat="1" applyFont="1" applyBorder="1" applyAlignment="1">
      <alignment horizontal="right" vertical="center" wrapText="1"/>
    </xf>
    <xf numFmtId="171" fontId="0" fillId="0" borderId="8" xfId="1" applyNumberFormat="1" applyFont="1" applyBorder="1" applyAlignment="1">
      <alignment horizontal="right" vertical="center" wrapText="1"/>
    </xf>
    <xf numFmtId="171" fontId="0" fillId="0" borderId="12" xfId="1" applyNumberFormat="1" applyFont="1" applyBorder="1" applyAlignment="1">
      <alignment horizontal="right" vertical="center" wrapText="1"/>
    </xf>
    <xf numFmtId="171" fontId="0" fillId="0" borderId="10" xfId="1" applyNumberFormat="1" applyFont="1" applyBorder="1" applyAlignment="1">
      <alignment horizontal="right" vertical="center" wrapText="1"/>
    </xf>
    <xf numFmtId="0" fontId="0" fillId="0" borderId="10" xfId="0" applyBorder="1" applyAlignment="1">
      <alignment vertical="center" wrapText="1"/>
    </xf>
    <xf numFmtId="3" fontId="0" fillId="0" borderId="0" xfId="0" applyNumberFormat="1" applyBorder="1" applyAlignment="1">
      <alignment horizontal="right" vertical="center" wrapText="1"/>
    </xf>
    <xf numFmtId="0" fontId="0" fillId="0" borderId="0" xfId="0" applyBorder="1" applyAlignment="1">
      <alignment horizontal="right" vertical="center" wrapText="1"/>
    </xf>
    <xf numFmtId="9" fontId="0" fillId="0" borderId="0" xfId="2" applyFont="1" applyBorder="1" applyAlignment="1">
      <alignment horizontal="right" vertical="center" wrapText="1"/>
    </xf>
    <xf numFmtId="9" fontId="0" fillId="0" borderId="0" xfId="0" applyNumberFormat="1" applyBorder="1" applyAlignment="1">
      <alignment horizontal="right" vertical="center" wrapText="1"/>
    </xf>
    <xf numFmtId="0" fontId="0" fillId="0" borderId="12" xfId="0" applyBorder="1" applyAlignment="1">
      <alignment horizontal="right" vertical="center" wrapText="1"/>
    </xf>
    <xf numFmtId="9" fontId="0" fillId="0" borderId="12" xfId="0" applyNumberFormat="1" applyBorder="1" applyAlignment="1">
      <alignment horizontal="righ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rey\Downloads\Assumptions_BrewBeans.xlsx" TargetMode="External"/><Relationship Id="rId1" Type="http://schemas.openxmlformats.org/officeDocument/2006/relationships/externalLinkPath" Target="Assumptions_BrewBea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eral Information"/>
      <sheetName val="Store Expansion Plan"/>
      <sheetName val="Revenue Drivers"/>
      <sheetName val="Cost Assumptions"/>
      <sheetName val="Optional Scenario Variables"/>
    </sheetNames>
    <sheetDataSet>
      <sheetData sheetId="0"/>
      <sheetData sheetId="1">
        <row r="2">
          <cell r="B2">
            <v>1</v>
          </cell>
        </row>
        <row r="3">
          <cell r="B3">
            <v>2</v>
          </cell>
        </row>
        <row r="4">
          <cell r="B4">
            <v>3</v>
          </cell>
        </row>
      </sheetData>
      <sheetData sheetId="2">
        <row r="4">
          <cell r="B4">
            <v>360</v>
          </cell>
        </row>
      </sheetData>
      <sheetData sheetId="3">
        <row r="3">
          <cell r="B3">
            <v>3000</v>
          </cell>
        </row>
        <row r="4">
          <cell r="B4">
            <v>2</v>
          </cell>
        </row>
        <row r="5">
          <cell r="B5">
            <v>15</v>
          </cell>
        </row>
        <row r="6">
          <cell r="B6">
            <v>8</v>
          </cell>
        </row>
        <row r="7">
          <cell r="B7">
            <v>10000</v>
          </cell>
        </row>
        <row r="9">
          <cell r="B9">
            <v>15000</v>
          </cell>
        </row>
        <row r="11">
          <cell r="B11">
            <v>20000</v>
          </cell>
        </row>
      </sheetData>
      <sheetData sheetId="4">
        <row r="2">
          <cell r="B2">
            <v>6</v>
          </cell>
          <cell r="C2">
            <v>6.5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F56F-A245-40A4-90BD-DFEAA583870A}">
  <dimension ref="B1:I7"/>
  <sheetViews>
    <sheetView showGridLines="0" tabSelected="1" workbookViewId="0">
      <selection activeCell="G20" sqref="G20"/>
    </sheetView>
  </sheetViews>
  <sheetFormatPr defaultRowHeight="14.5" x14ac:dyDescent="0.35"/>
  <cols>
    <col min="1" max="1" width="3.54296875" customWidth="1"/>
    <col min="2" max="2" width="23.6328125" customWidth="1"/>
    <col min="3" max="3" width="13.26953125" customWidth="1"/>
    <col min="4" max="4" width="13.453125" customWidth="1"/>
    <col min="5" max="5" width="14.1796875" customWidth="1"/>
    <col min="7" max="7" width="13.6328125" customWidth="1"/>
    <col min="8" max="9" width="9.81640625" customWidth="1"/>
  </cols>
  <sheetData>
    <row r="1" spans="2:9" ht="15" thickBot="1" x14ac:dyDescent="0.4"/>
    <row r="2" spans="2:9" ht="15" thickBot="1" x14ac:dyDescent="0.4">
      <c r="B2" s="33" t="s">
        <v>32</v>
      </c>
    </row>
    <row r="3" spans="2:9" ht="15" thickBot="1" x14ac:dyDescent="0.4"/>
    <row r="4" spans="2:9" ht="15" thickBot="1" x14ac:dyDescent="0.4">
      <c r="B4" s="19" t="s">
        <v>0</v>
      </c>
      <c r="C4" s="20" t="s">
        <v>1</v>
      </c>
      <c r="D4" s="20" t="s">
        <v>2</v>
      </c>
      <c r="E4" s="20" t="s">
        <v>3</v>
      </c>
      <c r="F4" s="20" t="s">
        <v>4</v>
      </c>
      <c r="G4" s="20" t="s">
        <v>5</v>
      </c>
      <c r="H4" s="20" t="s">
        <v>6</v>
      </c>
      <c r="I4" s="21" t="s">
        <v>7</v>
      </c>
    </row>
    <row r="5" spans="2:9" x14ac:dyDescent="0.35">
      <c r="B5" s="4">
        <v>2025</v>
      </c>
      <c r="C5" s="13">
        <f>'[1]Store Expansion Plan'!$B$2</f>
        <v>1</v>
      </c>
      <c r="D5" s="13">
        <v>200</v>
      </c>
      <c r="E5" s="22">
        <f>'[1]Optional Scenario Variables'!$B$2</f>
        <v>6</v>
      </c>
      <c r="F5" s="13">
        <f>'[1]Revenue Drivers'!$B$4</f>
        <v>360</v>
      </c>
      <c r="G5" s="23">
        <f>D5*E5*F5</f>
        <v>432000</v>
      </c>
      <c r="H5" s="23">
        <f>G5*C5</f>
        <v>432000</v>
      </c>
      <c r="I5" s="24" t="s">
        <v>9</v>
      </c>
    </row>
    <row r="6" spans="2:9" x14ac:dyDescent="0.35">
      <c r="B6" s="4">
        <v>2026</v>
      </c>
      <c r="C6" s="13">
        <f>'[1]Store Expansion Plan'!$B$3</f>
        <v>2</v>
      </c>
      <c r="D6" s="13">
        <v>210</v>
      </c>
      <c r="E6" s="22">
        <f>'[1]Optional Scenario Variables'!$C$2</f>
        <v>6.5</v>
      </c>
      <c r="F6" s="13">
        <f>'[1]Revenue Drivers'!$B$4</f>
        <v>360</v>
      </c>
      <c r="G6" s="23">
        <f t="shared" ref="G6:G7" si="0">D6*E6*F6</f>
        <v>491400</v>
      </c>
      <c r="H6" s="23">
        <f t="shared" ref="H6:H7" si="1">G6*C6</f>
        <v>982800</v>
      </c>
      <c r="I6" s="24">
        <f xml:space="preserve"> (H6 - H5) / H5</f>
        <v>1.2749999999999999</v>
      </c>
    </row>
    <row r="7" spans="2:9" ht="15" thickBot="1" x14ac:dyDescent="0.4">
      <c r="B7" s="6">
        <v>2027</v>
      </c>
      <c r="C7" s="25">
        <f>'[1]Store Expansion Plan'!$B$4</f>
        <v>3</v>
      </c>
      <c r="D7" s="25">
        <v>220</v>
      </c>
      <c r="E7" s="26">
        <v>7.5</v>
      </c>
      <c r="F7" s="25">
        <f>'[1]Revenue Drivers'!$B$4</f>
        <v>360</v>
      </c>
      <c r="G7" s="27">
        <f t="shared" si="0"/>
        <v>594000</v>
      </c>
      <c r="H7" s="27">
        <f t="shared" si="1"/>
        <v>1782000</v>
      </c>
      <c r="I7" s="28">
        <f xml:space="preserve"> (H7 - H6) / H6</f>
        <v>0.81318681318681318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224D-FF3C-4320-B081-88975EF998C1}">
  <dimension ref="B1:L18"/>
  <sheetViews>
    <sheetView showGridLines="0" workbookViewId="0">
      <selection activeCell="G19" sqref="G19"/>
    </sheetView>
  </sheetViews>
  <sheetFormatPr defaultRowHeight="14.5" x14ac:dyDescent="0.35"/>
  <cols>
    <col min="1" max="1" width="3.7265625" customWidth="1"/>
    <col min="2" max="2" width="10.90625" customWidth="1"/>
    <col min="3" max="3" width="16.90625" customWidth="1"/>
    <col min="4" max="5" width="11.6328125" bestFit="1" customWidth="1"/>
    <col min="6" max="6" width="14.26953125" customWidth="1"/>
    <col min="9" max="9" width="9" bestFit="1" customWidth="1"/>
    <col min="11" max="11" width="11" customWidth="1"/>
    <col min="12" max="12" width="13.7265625" customWidth="1"/>
  </cols>
  <sheetData>
    <row r="1" spans="2:12" ht="15" thickBot="1" x14ac:dyDescent="0.4"/>
    <row r="2" spans="2:12" ht="15" thickBot="1" x14ac:dyDescent="0.4">
      <c r="B2" s="33" t="s">
        <v>33</v>
      </c>
    </row>
    <row r="3" spans="2:12" ht="15" thickBot="1" x14ac:dyDescent="0.4"/>
    <row r="4" spans="2:12" x14ac:dyDescent="0.35">
      <c r="B4" s="8" t="s">
        <v>12</v>
      </c>
      <c r="C4" s="9"/>
      <c r="D4" s="3"/>
      <c r="E4" s="8" t="s">
        <v>10</v>
      </c>
      <c r="F4" s="9"/>
      <c r="G4" s="3"/>
      <c r="H4" s="8" t="s">
        <v>13</v>
      </c>
      <c r="I4" s="9"/>
      <c r="K4" s="8" t="s">
        <v>14</v>
      </c>
      <c r="L4" s="9"/>
    </row>
    <row r="5" spans="2:12" ht="15" thickBot="1" x14ac:dyDescent="0.4">
      <c r="B5" s="29" t="s">
        <v>0</v>
      </c>
      <c r="C5" s="30" t="s">
        <v>11</v>
      </c>
      <c r="E5" s="31" t="s">
        <v>0</v>
      </c>
      <c r="F5" s="32" t="s">
        <v>11</v>
      </c>
      <c r="H5" s="31" t="s">
        <v>0</v>
      </c>
      <c r="I5" s="32" t="s">
        <v>11</v>
      </c>
      <c r="K5" s="31" t="s">
        <v>0</v>
      </c>
      <c r="L5" s="32" t="s">
        <v>11</v>
      </c>
    </row>
    <row r="6" spans="2:12" x14ac:dyDescent="0.35">
      <c r="B6" s="4">
        <v>2025</v>
      </c>
      <c r="C6" s="10">
        <f>'Revenue Forecast'!G5*35%</f>
        <v>151200</v>
      </c>
      <c r="E6" s="4">
        <v>2025</v>
      </c>
      <c r="F6" s="5">
        <f>'[1]Cost Assumptions'!$B$3*'Revenue Forecast'!C5*12</f>
        <v>36000</v>
      </c>
      <c r="H6" s="4">
        <v>2025</v>
      </c>
      <c r="I6" s="5">
        <f>'Revenue Forecast'!C5*'[1]Cost Assumptions'!$B$4*'[1]Cost Assumptions'!$B$6*'[1]Cost Assumptions'!$B$5*360</f>
        <v>86400</v>
      </c>
      <c r="K6" s="4">
        <v>2025</v>
      </c>
      <c r="L6" s="5">
        <f>'Revenue Forecast'!C5*'[1]Cost Assumptions'!$B$9</f>
        <v>15000</v>
      </c>
    </row>
    <row r="7" spans="2:12" x14ac:dyDescent="0.35">
      <c r="B7" s="4">
        <v>2026</v>
      </c>
      <c r="C7" s="10">
        <f>'Revenue Forecast'!G6*35%</f>
        <v>171990</v>
      </c>
      <c r="E7" s="4">
        <v>2026</v>
      </c>
      <c r="F7" s="5">
        <f>'[1]Cost Assumptions'!$B$3*'Revenue Forecast'!C6*12</f>
        <v>72000</v>
      </c>
      <c r="H7" s="4">
        <v>2026</v>
      </c>
      <c r="I7" s="5">
        <f>'Revenue Forecast'!C6*'[1]Cost Assumptions'!$B$4*'[1]Cost Assumptions'!$B$6*'[1]Cost Assumptions'!$B$5*360</f>
        <v>172800</v>
      </c>
      <c r="K7" s="4">
        <v>2026</v>
      </c>
      <c r="L7" s="5">
        <f>'Revenue Forecast'!C6*'[1]Cost Assumptions'!$B$9</f>
        <v>30000</v>
      </c>
    </row>
    <row r="8" spans="2:12" ht="15" thickBot="1" x14ac:dyDescent="0.4">
      <c r="B8" s="6">
        <v>2027</v>
      </c>
      <c r="C8" s="11">
        <f>'Revenue Forecast'!G7*35%</f>
        <v>207900</v>
      </c>
      <c r="E8" s="6">
        <v>2027</v>
      </c>
      <c r="F8" s="7">
        <f>'[1]Cost Assumptions'!$B$3*'Revenue Forecast'!C7*12</f>
        <v>108000</v>
      </c>
      <c r="H8" s="6">
        <v>2027</v>
      </c>
      <c r="I8" s="7">
        <f>'Revenue Forecast'!C7*'[1]Cost Assumptions'!$B$4*'[1]Cost Assumptions'!$B$6*'[1]Cost Assumptions'!$B$5*360</f>
        <v>259200</v>
      </c>
      <c r="K8" s="6">
        <v>2027</v>
      </c>
      <c r="L8" s="7">
        <f>'Revenue Forecast'!C7*'[1]Cost Assumptions'!$B$9</f>
        <v>45000</v>
      </c>
    </row>
    <row r="10" spans="2:12" ht="15" thickBot="1" x14ac:dyDescent="0.4"/>
    <row r="11" spans="2:12" ht="29.5" thickBot="1" x14ac:dyDescent="0.4">
      <c r="B11" s="19" t="s">
        <v>15</v>
      </c>
      <c r="C11" s="20">
        <v>2025</v>
      </c>
      <c r="D11" s="20">
        <v>2026</v>
      </c>
      <c r="E11" s="20">
        <v>2027</v>
      </c>
      <c r="F11" s="20" t="s">
        <v>16</v>
      </c>
      <c r="G11" s="21" t="s">
        <v>17</v>
      </c>
    </row>
    <row r="12" spans="2:12" x14ac:dyDescent="0.35">
      <c r="B12" s="4" t="s">
        <v>18</v>
      </c>
      <c r="C12" s="12">
        <f>C6</f>
        <v>151200</v>
      </c>
      <c r="D12" s="12">
        <f>C7</f>
        <v>171990</v>
      </c>
      <c r="E12" s="12">
        <f>C8</f>
        <v>207900</v>
      </c>
      <c r="F12" s="13" t="s">
        <v>31</v>
      </c>
      <c r="G12" s="14" t="s">
        <v>19</v>
      </c>
    </row>
    <row r="13" spans="2:12" x14ac:dyDescent="0.35">
      <c r="B13" s="4" t="s">
        <v>20</v>
      </c>
      <c r="C13" s="12">
        <f>F6</f>
        <v>36000</v>
      </c>
      <c r="D13" s="12">
        <f>F7</f>
        <v>72000</v>
      </c>
      <c r="E13" s="12">
        <f>F8</f>
        <v>108000</v>
      </c>
      <c r="F13" s="13" t="s">
        <v>21</v>
      </c>
      <c r="G13" s="14" t="s">
        <v>22</v>
      </c>
    </row>
    <row r="14" spans="2:12" ht="29" x14ac:dyDescent="0.35">
      <c r="B14" s="4" t="s">
        <v>23</v>
      </c>
      <c r="C14" s="12">
        <f>I6</f>
        <v>86400</v>
      </c>
      <c r="D14" s="12">
        <f>I7</f>
        <v>172800</v>
      </c>
      <c r="E14" s="12">
        <f>I8</f>
        <v>259200</v>
      </c>
      <c r="F14" s="13" t="s">
        <v>24</v>
      </c>
      <c r="G14" s="14" t="s">
        <v>25</v>
      </c>
    </row>
    <row r="15" spans="2:12" x14ac:dyDescent="0.35">
      <c r="B15" s="4" t="s">
        <v>26</v>
      </c>
      <c r="C15" s="12">
        <f>'[1]Cost Assumptions'!$B$7</f>
        <v>10000</v>
      </c>
      <c r="D15" s="12">
        <f>C15+C15*10%</f>
        <v>11000</v>
      </c>
      <c r="E15" s="12">
        <f>D15+D15*10%</f>
        <v>12100</v>
      </c>
      <c r="F15" s="13" t="s">
        <v>27</v>
      </c>
      <c r="G15" s="14" t="s">
        <v>22</v>
      </c>
    </row>
    <row r="16" spans="2:12" ht="29" x14ac:dyDescent="0.35">
      <c r="B16" s="4" t="s">
        <v>28</v>
      </c>
      <c r="C16" s="12">
        <f>L6</f>
        <v>15000</v>
      </c>
      <c r="D16" s="12">
        <f>L7</f>
        <v>30000</v>
      </c>
      <c r="E16" s="12">
        <f>L8</f>
        <v>45000</v>
      </c>
      <c r="F16" s="13" t="s">
        <v>29</v>
      </c>
      <c r="G16" s="14" t="s">
        <v>22</v>
      </c>
    </row>
    <row r="17" spans="2:7" x14ac:dyDescent="0.35">
      <c r="B17" s="4"/>
      <c r="C17" s="12"/>
      <c r="D17" s="12"/>
      <c r="E17" s="12"/>
      <c r="F17" s="13"/>
      <c r="G17" s="14"/>
    </row>
    <row r="18" spans="2:7" ht="44" thickBot="1" x14ac:dyDescent="0.4">
      <c r="B18" s="15" t="s">
        <v>30</v>
      </c>
      <c r="C18" s="16">
        <f>SUM(C12:C16)</f>
        <v>298600</v>
      </c>
      <c r="D18" s="16">
        <f>SUM(D12:D16)</f>
        <v>457790</v>
      </c>
      <c r="E18" s="16">
        <f>SUM(E12:E16)</f>
        <v>632200</v>
      </c>
      <c r="F18" s="17"/>
      <c r="G18" s="18"/>
    </row>
  </sheetData>
  <mergeCells count="4">
    <mergeCell ref="B4:C4"/>
    <mergeCell ref="E4:F4"/>
    <mergeCell ref="H4:I4"/>
    <mergeCell ref="K4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2611-7F63-4FF6-A8A3-0D67CFB3EA0F}">
  <dimension ref="B1:J20"/>
  <sheetViews>
    <sheetView showGridLines="0" workbookViewId="0">
      <selection activeCell="F21" sqref="F21"/>
    </sheetView>
  </sheetViews>
  <sheetFormatPr defaultRowHeight="14.5" x14ac:dyDescent="0.35"/>
  <cols>
    <col min="1" max="1" width="2.90625" customWidth="1"/>
    <col min="2" max="2" width="16.36328125" customWidth="1"/>
    <col min="3" max="3" width="14" customWidth="1"/>
    <col min="4" max="4" width="12.36328125" customWidth="1"/>
    <col min="5" max="5" width="13.26953125" bestFit="1" customWidth="1"/>
    <col min="6" max="6" width="13.08984375" customWidth="1"/>
    <col min="7" max="7" width="3.1796875" customWidth="1"/>
    <col min="8" max="8" width="3.26953125" customWidth="1"/>
    <col min="9" max="9" width="11.6328125" customWidth="1"/>
    <col min="10" max="10" width="16.26953125" customWidth="1"/>
    <col min="11" max="11" width="2.36328125" customWidth="1"/>
  </cols>
  <sheetData>
    <row r="1" spans="2:10" ht="15" thickBot="1" x14ac:dyDescent="0.4"/>
    <row r="2" spans="2:10" ht="15" thickBot="1" x14ac:dyDescent="0.4">
      <c r="B2" s="33" t="s">
        <v>34</v>
      </c>
    </row>
    <row r="3" spans="2:10" ht="15" thickBot="1" x14ac:dyDescent="0.4"/>
    <row r="4" spans="2:10" x14ac:dyDescent="0.35">
      <c r="B4" s="8" t="s">
        <v>36</v>
      </c>
      <c r="C4" s="9"/>
      <c r="E4" s="8" t="s">
        <v>37</v>
      </c>
      <c r="F4" s="9"/>
      <c r="I4" s="8" t="s">
        <v>38</v>
      </c>
      <c r="J4" s="9"/>
    </row>
    <row r="5" spans="2:10" ht="15" thickBot="1" x14ac:dyDescent="0.4">
      <c r="B5" s="29" t="s">
        <v>0</v>
      </c>
      <c r="C5" s="30" t="s">
        <v>11</v>
      </c>
      <c r="E5" s="29" t="s">
        <v>0</v>
      </c>
      <c r="F5" s="30" t="s">
        <v>11</v>
      </c>
      <c r="I5" s="29" t="s">
        <v>0</v>
      </c>
      <c r="J5" s="30" t="s">
        <v>11</v>
      </c>
    </row>
    <row r="6" spans="2:10" x14ac:dyDescent="0.35">
      <c r="B6" s="4">
        <v>2025</v>
      </c>
      <c r="C6" s="10">
        <f>'Revenue Forecast'!H5</f>
        <v>432000</v>
      </c>
      <c r="E6" s="4">
        <v>2025</v>
      </c>
      <c r="F6" s="10">
        <f>Expense!C6</f>
        <v>151200</v>
      </c>
      <c r="I6" s="4">
        <v>2025</v>
      </c>
      <c r="J6" s="10">
        <f>Expense!C18</f>
        <v>298600</v>
      </c>
    </row>
    <row r="7" spans="2:10" x14ac:dyDescent="0.35">
      <c r="B7" s="4">
        <v>2026</v>
      </c>
      <c r="C7" s="10">
        <f>'Revenue Forecast'!H6</f>
        <v>982800</v>
      </c>
      <c r="E7" s="4">
        <v>2026</v>
      </c>
      <c r="F7" s="10">
        <f>Expense!C7</f>
        <v>171990</v>
      </c>
      <c r="I7" s="4">
        <v>2026</v>
      </c>
      <c r="J7" s="10">
        <f>Expense!D18</f>
        <v>457790</v>
      </c>
    </row>
    <row r="8" spans="2:10" ht="15" thickBot="1" x14ac:dyDescent="0.4">
      <c r="B8" s="6">
        <v>2027</v>
      </c>
      <c r="C8" s="11">
        <f>'Revenue Forecast'!H7</f>
        <v>1782000</v>
      </c>
      <c r="E8" s="6">
        <v>2027</v>
      </c>
      <c r="F8" s="11">
        <f>Expense!C8</f>
        <v>207900</v>
      </c>
      <c r="I8" s="6">
        <v>2027</v>
      </c>
      <c r="J8" s="11">
        <f>Expense!E18</f>
        <v>632200</v>
      </c>
    </row>
    <row r="10" spans="2:10" ht="15" thickBot="1" x14ac:dyDescent="0.4"/>
    <row r="11" spans="2:10" ht="15" thickBot="1" x14ac:dyDescent="0.4">
      <c r="B11" s="19" t="s">
        <v>41</v>
      </c>
      <c r="C11" s="20">
        <v>2025</v>
      </c>
      <c r="D11" s="20">
        <v>2026</v>
      </c>
      <c r="E11" s="21">
        <v>2027</v>
      </c>
      <c r="F11" s="1"/>
    </row>
    <row r="12" spans="2:10" x14ac:dyDescent="0.35">
      <c r="B12" s="34" t="s">
        <v>36</v>
      </c>
      <c r="C12" s="12">
        <f>C6</f>
        <v>432000</v>
      </c>
      <c r="D12" s="12">
        <f>C7</f>
        <v>982800</v>
      </c>
      <c r="E12" s="10">
        <f>C8</f>
        <v>1782000</v>
      </c>
      <c r="F12" s="2"/>
    </row>
    <row r="13" spans="2:10" x14ac:dyDescent="0.35">
      <c r="B13" s="34" t="s">
        <v>18</v>
      </c>
      <c r="C13" s="12">
        <f>F6</f>
        <v>151200</v>
      </c>
      <c r="D13" s="12">
        <f>F7</f>
        <v>171990</v>
      </c>
      <c r="E13" s="10">
        <f>F8</f>
        <v>207900</v>
      </c>
      <c r="F13" s="2"/>
    </row>
    <row r="14" spans="2:10" x14ac:dyDescent="0.35">
      <c r="B14" s="34" t="s">
        <v>35</v>
      </c>
      <c r="C14" s="12">
        <f>C12-C13</f>
        <v>280800</v>
      </c>
      <c r="D14" s="12">
        <f t="shared" ref="D14:E14" si="0">D12-D13</f>
        <v>810810</v>
      </c>
      <c r="E14" s="10">
        <f t="shared" si="0"/>
        <v>1574100</v>
      </c>
      <c r="F14" s="2"/>
    </row>
    <row r="15" spans="2:10" ht="29" x14ac:dyDescent="0.35">
      <c r="B15" s="4" t="s">
        <v>42</v>
      </c>
      <c r="C15" s="12">
        <f>J6</f>
        <v>298600</v>
      </c>
      <c r="D15" s="12">
        <f>J7</f>
        <v>457790</v>
      </c>
      <c r="E15" s="10">
        <f>J8</f>
        <v>632200</v>
      </c>
      <c r="F15" s="2"/>
    </row>
    <row r="16" spans="2:10" x14ac:dyDescent="0.35">
      <c r="B16" s="38" t="s">
        <v>39</v>
      </c>
      <c r="C16" s="39">
        <f>C14-C15</f>
        <v>-17800</v>
      </c>
      <c r="D16" s="39">
        <f t="shared" ref="D16:E16" si="1">D14-D15</f>
        <v>353020</v>
      </c>
      <c r="E16" s="40">
        <f t="shared" si="1"/>
        <v>941900</v>
      </c>
      <c r="F16" s="2"/>
    </row>
    <row r="17" spans="2:6" x14ac:dyDescent="0.35">
      <c r="B17" s="4" t="s">
        <v>43</v>
      </c>
      <c r="C17" s="12">
        <f>C12*5%</f>
        <v>21600</v>
      </c>
      <c r="D17" s="12">
        <f t="shared" ref="D17:E17" si="2">D12*5%</f>
        <v>49140</v>
      </c>
      <c r="E17" s="10">
        <f t="shared" si="2"/>
        <v>89100</v>
      </c>
      <c r="F17" s="2"/>
    </row>
    <row r="18" spans="2:6" ht="29" x14ac:dyDescent="0.35">
      <c r="B18" s="38" t="s">
        <v>44</v>
      </c>
      <c r="C18" s="39">
        <f>C16-C17</f>
        <v>-39400</v>
      </c>
      <c r="D18" s="39">
        <f t="shared" ref="D18:E18" si="3">D16-D17</f>
        <v>303880</v>
      </c>
      <c r="E18" s="40">
        <f t="shared" si="3"/>
        <v>852800</v>
      </c>
      <c r="F18" s="2"/>
    </row>
    <row r="19" spans="2:6" x14ac:dyDescent="0.35">
      <c r="B19" s="4" t="s">
        <v>45</v>
      </c>
      <c r="C19" s="12">
        <f>IF(C18&gt;0,C18*25%,0)</f>
        <v>0</v>
      </c>
      <c r="D19" s="12">
        <f t="shared" ref="D19:E19" si="4">IF(D18&gt;0,D18*25%,0)</f>
        <v>75970</v>
      </c>
      <c r="E19" s="10">
        <f t="shared" si="4"/>
        <v>213200</v>
      </c>
      <c r="F19" s="2"/>
    </row>
    <row r="20" spans="2:6" ht="15" thickBot="1" x14ac:dyDescent="0.4">
      <c r="B20" s="41" t="s">
        <v>46</v>
      </c>
      <c r="C20" s="42">
        <f>C18-C19</f>
        <v>-39400</v>
      </c>
      <c r="D20" s="42">
        <f>D18-D19</f>
        <v>227910</v>
      </c>
      <c r="E20" s="43">
        <f>E18-E19</f>
        <v>639600</v>
      </c>
      <c r="F20" s="2"/>
    </row>
  </sheetData>
  <mergeCells count="3">
    <mergeCell ref="B4:C4"/>
    <mergeCell ref="E4:F4"/>
    <mergeCell ref="I4:J4"/>
  </mergeCells>
  <pageMargins left="0.7" right="0.7" top="0.75" bottom="0.75" header="0.3" footer="0.3"/>
  <ignoredErrors>
    <ignoredError sqref="C15:E15 C17:E17 C19:E1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C6948-7218-426A-B29F-6CDF2CB726F7}">
  <dimension ref="B1:I14"/>
  <sheetViews>
    <sheetView showGridLines="0" workbookViewId="0">
      <selection activeCell="I6" sqref="I6"/>
    </sheetView>
  </sheetViews>
  <sheetFormatPr defaultRowHeight="14.5" x14ac:dyDescent="0.35"/>
  <cols>
    <col min="1" max="1" width="3.7265625" customWidth="1"/>
    <col min="3" max="4" width="11.6328125" bestFit="1" customWidth="1"/>
    <col min="5" max="5" width="11.7265625" customWidth="1"/>
    <col min="6" max="6" width="10.6328125" bestFit="1" customWidth="1"/>
    <col min="7" max="7" width="15.6328125" customWidth="1"/>
    <col min="9" max="9" width="9.6328125" bestFit="1" customWidth="1"/>
  </cols>
  <sheetData>
    <row r="1" spans="2:9" ht="15" thickBot="1" x14ac:dyDescent="0.4"/>
    <row r="2" spans="2:9" ht="15" thickBot="1" x14ac:dyDescent="0.4">
      <c r="B2" s="48" t="s">
        <v>52</v>
      </c>
      <c r="C2" s="49"/>
    </row>
    <row r="3" spans="2:9" ht="15" thickBot="1" x14ac:dyDescent="0.4"/>
    <row r="4" spans="2:9" x14ac:dyDescent="0.35">
      <c r="B4" s="44" t="s">
        <v>0</v>
      </c>
      <c r="C4" s="45" t="s">
        <v>40</v>
      </c>
      <c r="D4" s="45" t="s">
        <v>47</v>
      </c>
      <c r="E4" s="45" t="s">
        <v>48</v>
      </c>
      <c r="F4" s="45" t="s">
        <v>49</v>
      </c>
      <c r="G4" s="46" t="s">
        <v>50</v>
      </c>
    </row>
    <row r="5" spans="2:9" x14ac:dyDescent="0.35">
      <c r="B5" s="4">
        <v>2025</v>
      </c>
      <c r="C5" s="12">
        <f>Income_Statement!C18</f>
        <v>-39400</v>
      </c>
      <c r="D5" s="12">
        <f>Income_Statement!C19</f>
        <v>0</v>
      </c>
      <c r="E5" s="12">
        <f>Income_Statement!C17</f>
        <v>21600</v>
      </c>
      <c r="F5" s="12">
        <f>'[1]Cost Assumptions'!$B$11</f>
        <v>20000</v>
      </c>
      <c r="G5" s="36">
        <f>C5-D5+E5-F5</f>
        <v>-37800</v>
      </c>
    </row>
    <row r="6" spans="2:9" x14ac:dyDescent="0.35">
      <c r="B6" s="4">
        <v>2026</v>
      </c>
      <c r="C6" s="12">
        <f>Income_Statement!D18</f>
        <v>303880</v>
      </c>
      <c r="D6" s="12">
        <f>Income_Statement!D19</f>
        <v>75970</v>
      </c>
      <c r="E6" s="12">
        <f>Income_Statement!D17</f>
        <v>49140</v>
      </c>
      <c r="F6" s="12">
        <f>'[1]Cost Assumptions'!$B$11</f>
        <v>20000</v>
      </c>
      <c r="G6" s="36">
        <f t="shared" ref="G6:G7" si="0">C6-D6+E6-F6</f>
        <v>257050</v>
      </c>
      <c r="I6" s="54"/>
    </row>
    <row r="7" spans="2:9" ht="15" thickBot="1" x14ac:dyDescent="0.4">
      <c r="B7" s="6">
        <v>2027</v>
      </c>
      <c r="C7" s="47">
        <f>Income_Statement!E18</f>
        <v>852800</v>
      </c>
      <c r="D7" s="47">
        <f>Income_Statement!E19</f>
        <v>213200</v>
      </c>
      <c r="E7" s="47">
        <f>Income_Statement!E17</f>
        <v>89100</v>
      </c>
      <c r="F7" s="47">
        <f>'[1]Cost Assumptions'!$B$11</f>
        <v>20000</v>
      </c>
      <c r="G7" s="37">
        <f t="shared" si="0"/>
        <v>708700</v>
      </c>
    </row>
    <row r="8" spans="2:9" ht="15" thickBot="1" x14ac:dyDescent="0.4"/>
    <row r="9" spans="2:9" ht="15" thickBot="1" x14ac:dyDescent="0.4">
      <c r="B9" s="33" t="s">
        <v>51</v>
      </c>
    </row>
    <row r="10" spans="2:9" ht="15" thickBot="1" x14ac:dyDescent="0.4"/>
    <row r="11" spans="2:9" ht="29" x14ac:dyDescent="0.35">
      <c r="B11" s="44" t="s">
        <v>0</v>
      </c>
      <c r="C11" s="45" t="s">
        <v>50</v>
      </c>
      <c r="D11" s="45" t="s">
        <v>54</v>
      </c>
      <c r="E11" s="46" t="s">
        <v>53</v>
      </c>
    </row>
    <row r="12" spans="2:9" x14ac:dyDescent="0.35">
      <c r="B12" s="4">
        <v>2025</v>
      </c>
      <c r="C12" s="12">
        <f>G5</f>
        <v>-37800</v>
      </c>
      <c r="D12" s="50">
        <v>0.1</v>
      </c>
      <c r="E12" s="51">
        <f>C12/(1+D12)^1</f>
        <v>-34363.63636363636</v>
      </c>
    </row>
    <row r="13" spans="2:9" x14ac:dyDescent="0.35">
      <c r="B13" s="4">
        <v>2026</v>
      </c>
      <c r="C13" s="12">
        <f>G6</f>
        <v>257050</v>
      </c>
      <c r="D13" s="50">
        <v>0.1</v>
      </c>
      <c r="E13" s="51">
        <f>C13/(1+D13)^2</f>
        <v>212438.0165289256</v>
      </c>
    </row>
    <row r="14" spans="2:9" ht="15" thickBot="1" x14ac:dyDescent="0.4">
      <c r="B14" s="6">
        <v>2027</v>
      </c>
      <c r="C14" s="47">
        <f>G7</f>
        <v>708700</v>
      </c>
      <c r="D14" s="52">
        <v>0.1</v>
      </c>
      <c r="E14" s="53">
        <f>C14/(1+D14)^3</f>
        <v>532456.79939894797</v>
      </c>
    </row>
  </sheetData>
  <mergeCells count="1">
    <mergeCell ref="B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7F6B-C1B1-4997-B0A2-E063BC7DC6A4}">
  <dimension ref="B1:E11"/>
  <sheetViews>
    <sheetView showGridLines="0" workbookViewId="0">
      <selection activeCell="E11" sqref="E11"/>
    </sheetView>
  </sheetViews>
  <sheetFormatPr defaultRowHeight="14.5" x14ac:dyDescent="0.35"/>
  <cols>
    <col min="1" max="1" width="4.08984375" customWidth="1"/>
    <col min="2" max="2" width="18.7265625" customWidth="1"/>
    <col min="3" max="5" width="12.08984375" customWidth="1"/>
  </cols>
  <sheetData>
    <row r="1" spans="2:5" ht="15" thickBot="1" x14ac:dyDescent="0.4"/>
    <row r="2" spans="2:5" ht="15" thickBot="1" x14ac:dyDescent="0.4">
      <c r="B2" s="33" t="s">
        <v>61</v>
      </c>
    </row>
    <row r="3" spans="2:5" ht="15" thickBot="1" x14ac:dyDescent="0.4"/>
    <row r="4" spans="2:5" ht="15" thickBot="1" x14ac:dyDescent="0.4">
      <c r="B4" s="19" t="s">
        <v>41</v>
      </c>
      <c r="C4" s="55">
        <v>2025</v>
      </c>
      <c r="D4" s="55">
        <v>2026</v>
      </c>
      <c r="E4" s="56">
        <v>2027</v>
      </c>
    </row>
    <row r="5" spans="2:5" x14ac:dyDescent="0.35">
      <c r="B5" s="34" t="s">
        <v>46</v>
      </c>
      <c r="C5" s="57">
        <f>Income_Statement!C20</f>
        <v>-39400</v>
      </c>
      <c r="D5" s="57">
        <f>Income_Statement!D20</f>
        <v>227910</v>
      </c>
      <c r="E5" s="58">
        <f>Income_Statement!E20</f>
        <v>639600</v>
      </c>
    </row>
    <row r="6" spans="2:5" x14ac:dyDescent="0.35">
      <c r="B6" s="34" t="s">
        <v>55</v>
      </c>
      <c r="C6" s="57">
        <f>Income_Statement!C17</f>
        <v>21600</v>
      </c>
      <c r="D6" s="57">
        <f>Income_Statement!D17</f>
        <v>49140</v>
      </c>
      <c r="E6" s="58">
        <f>Income_Statement!E17</f>
        <v>89100</v>
      </c>
    </row>
    <row r="7" spans="2:5" x14ac:dyDescent="0.35">
      <c r="B7" s="34" t="s">
        <v>56</v>
      </c>
      <c r="C7" s="57">
        <f>C5+C6</f>
        <v>-17800</v>
      </c>
      <c r="D7" s="57">
        <f>D5+D6</f>
        <v>277050</v>
      </c>
      <c r="E7" s="58">
        <f>E5+E6</f>
        <v>728700</v>
      </c>
    </row>
    <row r="8" spans="2:5" x14ac:dyDescent="0.35">
      <c r="B8" s="34" t="s">
        <v>60</v>
      </c>
      <c r="C8" s="57">
        <f>-DCF!F5</f>
        <v>-20000</v>
      </c>
      <c r="D8" s="57">
        <f>-DCF!F6</f>
        <v>-20000</v>
      </c>
      <c r="E8" s="58">
        <f>-DCF!F7</f>
        <v>-20000</v>
      </c>
    </row>
    <row r="9" spans="2:5" x14ac:dyDescent="0.35">
      <c r="B9" s="34" t="s">
        <v>57</v>
      </c>
      <c r="C9" s="57">
        <f>C7+C8</f>
        <v>-37800</v>
      </c>
      <c r="D9" s="57">
        <f>D7+D8</f>
        <v>257050</v>
      </c>
      <c r="E9" s="58">
        <f>E7+E8</f>
        <v>708700</v>
      </c>
    </row>
    <row r="10" spans="2:5" x14ac:dyDescent="0.35">
      <c r="B10" s="34" t="s">
        <v>58</v>
      </c>
      <c r="C10" s="57">
        <v>0</v>
      </c>
      <c r="D10" s="57">
        <f>C9</f>
        <v>-37800</v>
      </c>
      <c r="E10" s="58">
        <f>D11</f>
        <v>219250</v>
      </c>
    </row>
    <row r="11" spans="2:5" ht="15" thickBot="1" x14ac:dyDescent="0.4">
      <c r="B11" s="15" t="s">
        <v>59</v>
      </c>
      <c r="C11" s="59">
        <f>C10+C9</f>
        <v>-37800</v>
      </c>
      <c r="D11" s="59">
        <f>D9+D10</f>
        <v>219250</v>
      </c>
      <c r="E11" s="60">
        <f>E9+E10</f>
        <v>927950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C6CB4-4B81-49E3-BED9-7299D53E7346}">
  <dimension ref="B1:E11"/>
  <sheetViews>
    <sheetView showGridLines="0" workbookViewId="0">
      <selection activeCell="B2" sqref="B2"/>
    </sheetView>
  </sheetViews>
  <sheetFormatPr defaultRowHeight="14.5" x14ac:dyDescent="0.35"/>
  <cols>
    <col min="1" max="1" width="3.08984375" customWidth="1"/>
    <col min="2" max="2" width="19.08984375" customWidth="1"/>
    <col min="3" max="3" width="11.54296875" bestFit="1" customWidth="1"/>
    <col min="4" max="5" width="11.6328125" bestFit="1" customWidth="1"/>
  </cols>
  <sheetData>
    <row r="1" spans="2:5" ht="15" thickBot="1" x14ac:dyDescent="0.4"/>
    <row r="2" spans="2:5" ht="15" thickBot="1" x14ac:dyDescent="0.4">
      <c r="B2" s="33" t="s">
        <v>70</v>
      </c>
    </row>
    <row r="3" spans="2:5" ht="15" thickBot="1" x14ac:dyDescent="0.4"/>
    <row r="4" spans="2:5" ht="15" thickBot="1" x14ac:dyDescent="0.4">
      <c r="B4" s="19" t="s">
        <v>41</v>
      </c>
      <c r="C4" s="20">
        <v>2025</v>
      </c>
      <c r="D4" s="20">
        <v>2026</v>
      </c>
      <c r="E4" s="21">
        <v>2027</v>
      </c>
    </row>
    <row r="5" spans="2:5" x14ac:dyDescent="0.35">
      <c r="B5" s="34" t="s">
        <v>62</v>
      </c>
      <c r="C5" s="13"/>
      <c r="D5" s="13"/>
      <c r="E5" s="14"/>
    </row>
    <row r="6" spans="2:5" x14ac:dyDescent="0.35">
      <c r="B6" s="4" t="s">
        <v>63</v>
      </c>
      <c r="C6" s="12">
        <f>'Cash Flow'!C11</f>
        <v>-37800</v>
      </c>
      <c r="D6" s="12">
        <f>'Cash Flow'!D11</f>
        <v>219250</v>
      </c>
      <c r="E6" s="10">
        <f>'Cash Flow'!E11</f>
        <v>927950</v>
      </c>
    </row>
    <row r="7" spans="2:5" x14ac:dyDescent="0.35">
      <c r="B7" s="4" t="s">
        <v>64</v>
      </c>
      <c r="C7" s="12">
        <f>DCF!F5-DCF!E5</f>
        <v>-1600</v>
      </c>
      <c r="D7" s="12">
        <f>C7+DCF!F6-DCF!E6</f>
        <v>-30740</v>
      </c>
      <c r="E7" s="10">
        <f>D7+DCF!F7-DCF!E7</f>
        <v>-99840</v>
      </c>
    </row>
    <row r="8" spans="2:5" x14ac:dyDescent="0.35">
      <c r="B8" s="34" t="s">
        <v>65</v>
      </c>
      <c r="C8" s="35">
        <f>SUM(C6:C7)</f>
        <v>-39400</v>
      </c>
      <c r="D8" s="35">
        <f>SUM(D6:D7)</f>
        <v>188510</v>
      </c>
      <c r="E8" s="36">
        <f>SUM(E6:E7)</f>
        <v>828110</v>
      </c>
    </row>
    <row r="9" spans="2:5" x14ac:dyDescent="0.35">
      <c r="B9" s="34" t="s">
        <v>66</v>
      </c>
      <c r="C9" s="12">
        <v>0</v>
      </c>
      <c r="D9" s="12">
        <v>0</v>
      </c>
      <c r="E9" s="10">
        <v>0</v>
      </c>
    </row>
    <row r="10" spans="2:5" x14ac:dyDescent="0.35">
      <c r="B10" s="34" t="s">
        <v>67</v>
      </c>
      <c r="C10" s="12">
        <f>'Cash Flow'!C5</f>
        <v>-39400</v>
      </c>
      <c r="D10" s="12">
        <f>C10+'Cash Flow'!D5</f>
        <v>188510</v>
      </c>
      <c r="E10" s="10">
        <f>D10+'Cash Flow'!E5</f>
        <v>828110</v>
      </c>
    </row>
    <row r="11" spans="2:5" ht="29.5" thickBot="1" x14ac:dyDescent="0.4">
      <c r="B11" s="15" t="s">
        <v>68</v>
      </c>
      <c r="C11" s="25" t="s">
        <v>69</v>
      </c>
      <c r="D11" s="25" t="s">
        <v>69</v>
      </c>
      <c r="E11" s="61" t="s">
        <v>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34EBF-A26E-4DBD-9C25-D48956542CD9}">
  <dimension ref="B1:F12"/>
  <sheetViews>
    <sheetView showGridLines="0" workbookViewId="0">
      <selection activeCell="B17" sqref="B17"/>
    </sheetView>
  </sheetViews>
  <sheetFormatPr defaultRowHeight="14.5" x14ac:dyDescent="0.35"/>
  <cols>
    <col min="1" max="1" width="3" customWidth="1"/>
    <col min="2" max="2" width="18.36328125" customWidth="1"/>
    <col min="3" max="3" width="12" bestFit="1" customWidth="1"/>
    <col min="5" max="5" width="10.36328125" bestFit="1" customWidth="1"/>
    <col min="6" max="6" width="26.6328125" customWidth="1"/>
  </cols>
  <sheetData>
    <row r="1" spans="2:6" ht="15" thickBot="1" x14ac:dyDescent="0.4"/>
    <row r="2" spans="2:6" ht="15" thickBot="1" x14ac:dyDescent="0.4">
      <c r="B2" s="33" t="s">
        <v>89</v>
      </c>
    </row>
    <row r="3" spans="2:6" ht="15" thickBot="1" x14ac:dyDescent="0.4"/>
    <row r="4" spans="2:6" ht="15" thickBot="1" x14ac:dyDescent="0.4">
      <c r="B4" s="19" t="s">
        <v>71</v>
      </c>
      <c r="C4" s="55">
        <v>2025</v>
      </c>
      <c r="D4" s="55">
        <v>2026</v>
      </c>
      <c r="E4" s="55">
        <v>2027</v>
      </c>
      <c r="F4" s="21" t="s">
        <v>72</v>
      </c>
    </row>
    <row r="5" spans="2:6" x14ac:dyDescent="0.35">
      <c r="B5" s="34" t="s">
        <v>73</v>
      </c>
      <c r="C5" s="62">
        <f>'Revenue Forecast'!H5</f>
        <v>432000</v>
      </c>
      <c r="D5" s="62">
        <f>'Revenue Forecast'!H6</f>
        <v>982800</v>
      </c>
      <c r="E5" s="62">
        <f>'Revenue Forecast'!H7</f>
        <v>1782000</v>
      </c>
      <c r="F5" s="14" t="s">
        <v>74</v>
      </c>
    </row>
    <row r="6" spans="2:6" x14ac:dyDescent="0.35">
      <c r="B6" s="34" t="s">
        <v>75</v>
      </c>
      <c r="C6" s="62">
        <f>Expense!C12</f>
        <v>151200</v>
      </c>
      <c r="D6" s="62">
        <f>Expense!D12</f>
        <v>171990</v>
      </c>
      <c r="E6" s="62">
        <f>Expense!E12</f>
        <v>207900</v>
      </c>
      <c r="F6" s="14" t="s">
        <v>76</v>
      </c>
    </row>
    <row r="7" spans="2:6" x14ac:dyDescent="0.35">
      <c r="B7" s="34" t="s">
        <v>77</v>
      </c>
      <c r="C7" s="62">
        <f>C5-C6</f>
        <v>280800</v>
      </c>
      <c r="D7" s="62">
        <f>D5-D6</f>
        <v>810810</v>
      </c>
      <c r="E7" s="62">
        <f>E5-E6</f>
        <v>1574100</v>
      </c>
      <c r="F7" s="14" t="s">
        <v>85</v>
      </c>
    </row>
    <row r="8" spans="2:6" ht="20" customHeight="1" x14ac:dyDescent="0.35">
      <c r="B8" s="34" t="s">
        <v>78</v>
      </c>
      <c r="C8" s="63">
        <f>Income_Statement!C20</f>
        <v>-39400</v>
      </c>
      <c r="D8" s="62">
        <f>Income_Statement!D20</f>
        <v>227910</v>
      </c>
      <c r="E8" s="62">
        <f>Income_Statement!E20</f>
        <v>639600</v>
      </c>
      <c r="F8" s="14" t="s">
        <v>79</v>
      </c>
    </row>
    <row r="9" spans="2:6" x14ac:dyDescent="0.35">
      <c r="B9" s="34" t="s">
        <v>80</v>
      </c>
      <c r="C9" s="63">
        <f>DCF!G5</f>
        <v>-37800</v>
      </c>
      <c r="D9" s="62">
        <f>DCF!G6</f>
        <v>257050</v>
      </c>
      <c r="E9" s="62">
        <f>DCF!G7</f>
        <v>708700</v>
      </c>
      <c r="F9" s="14" t="s">
        <v>81</v>
      </c>
    </row>
    <row r="10" spans="2:6" x14ac:dyDescent="0.35">
      <c r="B10" s="34" t="s">
        <v>82</v>
      </c>
      <c r="C10" s="64">
        <f>Income_Statement!C16/KPI!C5</f>
        <v>-4.1203703703703701E-2</v>
      </c>
      <c r="D10" s="65">
        <f>Income_Statement!D16/Income_Statement!D12</f>
        <v>0.35919820919820922</v>
      </c>
      <c r="E10" s="65">
        <f>Income_Statement!E16/Income_Statement!E12</f>
        <v>0.52856341189674527</v>
      </c>
      <c r="F10" s="14" t="s">
        <v>86</v>
      </c>
    </row>
    <row r="11" spans="2:6" x14ac:dyDescent="0.35">
      <c r="B11" s="34" t="s">
        <v>83</v>
      </c>
      <c r="C11" s="64">
        <f>C8/C5</f>
        <v>-9.1203703703703703E-2</v>
      </c>
      <c r="D11" s="64">
        <f>D8/D5</f>
        <v>0.23189865689865691</v>
      </c>
      <c r="E11" s="64">
        <f>E8/E5</f>
        <v>0.35892255892255892</v>
      </c>
      <c r="F11" s="14" t="s">
        <v>87</v>
      </c>
    </row>
    <row r="12" spans="2:6" ht="15" thickBot="1" x14ac:dyDescent="0.4">
      <c r="B12" s="15" t="s">
        <v>84</v>
      </c>
      <c r="C12" s="66" t="s">
        <v>8</v>
      </c>
      <c r="D12" s="67">
        <f>(D5-C5)/C5</f>
        <v>1.2749999999999999</v>
      </c>
      <c r="E12" s="67">
        <f>(E5-D5)/D5</f>
        <v>0.81318681318681318</v>
      </c>
      <c r="F12" s="6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Revenue Forecast</vt:lpstr>
      <vt:lpstr>Expense</vt:lpstr>
      <vt:lpstr>Income_Statement</vt:lpstr>
      <vt:lpstr>DCF</vt:lpstr>
      <vt:lpstr>Cash Flow</vt:lpstr>
      <vt:lpstr>Balance Sheet</vt:lpstr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M</dc:creator>
  <cp:lastModifiedBy>Shreya M</cp:lastModifiedBy>
  <dcterms:created xsi:type="dcterms:W3CDTF">2025-11-11T19:47:03Z</dcterms:created>
  <dcterms:modified xsi:type="dcterms:W3CDTF">2025-11-11T23:10:28Z</dcterms:modified>
</cp:coreProperties>
</file>